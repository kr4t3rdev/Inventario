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8" windowWidth="14808" windowHeight="8016" activeTab="1"/>
  </bookViews>
  <sheets>
    <sheet name="Enero" sheetId="1" r:id="rId1"/>
    <sheet name="Febrero" sheetId="2" r:id="rId2"/>
  </sheets>
  <calcPr calcId="125725"/>
</workbook>
</file>

<file path=xl/calcChain.xml><?xml version="1.0" encoding="utf-8"?>
<calcChain xmlns="http://schemas.openxmlformats.org/spreadsheetml/2006/main">
  <c r="J8" i="2"/>
  <c r="L9"/>
  <c r="K9"/>
  <c r="J9"/>
  <c r="I9"/>
  <c r="H9"/>
  <c r="G9"/>
  <c r="F9"/>
  <c r="M9" s="1"/>
  <c r="E9"/>
  <c r="C9"/>
  <c r="F8"/>
  <c r="E8"/>
  <c r="C8"/>
  <c r="H7"/>
  <c r="G7"/>
  <c r="F7"/>
  <c r="E7"/>
  <c r="C7"/>
  <c r="K7" l="1"/>
  <c r="J7"/>
  <c r="H8"/>
  <c r="I7"/>
  <c r="G8"/>
  <c r="I8" s="1"/>
  <c r="E9" i="1"/>
  <c r="F9" s="1"/>
  <c r="C9"/>
  <c r="E8"/>
  <c r="F8" s="1"/>
  <c r="C8"/>
  <c r="E7"/>
  <c r="F7" s="1"/>
  <c r="C7"/>
  <c r="L8" i="2" l="1"/>
  <c r="M8" s="1"/>
  <c r="L7"/>
  <c r="M7" s="1"/>
  <c r="K8"/>
  <c r="G7" i="1"/>
  <c r="H7" s="1"/>
  <c r="G8"/>
  <c r="H8" s="1"/>
  <c r="G9"/>
  <c r="I9"/>
  <c r="H9"/>
  <c r="J9" s="1"/>
  <c r="K9" s="1"/>
  <c r="I7" l="1"/>
  <c r="J7" s="1"/>
  <c r="K7" s="1"/>
  <c r="I8"/>
  <c r="J8" s="1"/>
  <c r="K8" s="1"/>
</calcChain>
</file>

<file path=xl/sharedStrings.xml><?xml version="1.0" encoding="utf-8"?>
<sst xmlns="http://schemas.openxmlformats.org/spreadsheetml/2006/main" count="38" uniqueCount="19">
  <si>
    <t xml:space="preserve">MODELO DE CONTROL DE PAGO DE SALARIO </t>
  </si>
  <si>
    <t>Hecho: Abel Gonzalez Carmenates</t>
  </si>
  <si>
    <t>Firma:</t>
  </si>
  <si>
    <t>Aprobado: Abel Gonzalez Carmenates</t>
  </si>
  <si>
    <t>Nombre y Apellidos</t>
  </si>
  <si>
    <t>Dias Trabajados</t>
  </si>
  <si>
    <t>Horas</t>
  </si>
  <si>
    <t>Basico</t>
  </si>
  <si>
    <t>Dev. Dia</t>
  </si>
  <si>
    <t>Devengado Real</t>
  </si>
  <si>
    <t>Vacaciones</t>
  </si>
  <si>
    <t>Total Descuento</t>
  </si>
  <si>
    <t>Neto a Cobrar</t>
  </si>
  <si>
    <t>Firma</t>
  </si>
  <si>
    <t>Barbara Dally Sanchez Quiñones</t>
  </si>
  <si>
    <t>Dalia Dimelsa Estrada Varona</t>
  </si>
  <si>
    <t>Yosbel Diaz Fernandez</t>
  </si>
  <si>
    <t>Perodo: Enero / 2026</t>
  </si>
  <si>
    <t>Perodo: Febrero / 2026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</si>
</sst>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i/>
      <sz val="18"/>
      <color theme="1"/>
      <name val="Arial"/>
      <family val="2"/>
    </font>
    <font>
      <b/>
      <sz val="22"/>
      <color rgb="FF0070C0"/>
      <name val="Arial"/>
      <family val="2"/>
    </font>
    <font>
      <b/>
      <sz val="2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10" fontId="5" fillId="0" borderId="16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0" fontId="0" fillId="0" borderId="16" xfId="0" applyBorder="1"/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  <protection locked="0"/>
    </xf>
    <xf numFmtId="0" fontId="3" fillId="0" borderId="14" xfId="0" applyFont="1" applyBorder="1" applyAlignment="1" applyProtection="1">
      <alignment horizontal="left" vertical="center" wrapText="1"/>
      <protection locked="0"/>
    </xf>
    <xf numFmtId="0" fontId="3" fillId="0" borderId="15" xfId="0" applyFont="1" applyBorder="1" applyAlignment="1" applyProtection="1">
      <alignment horizontal="left" vertical="center" wrapText="1"/>
      <protection locked="0"/>
    </xf>
    <xf numFmtId="0" fontId="3" fillId="0" borderId="15" xfId="0" applyFont="1" applyBorder="1" applyAlignment="1" applyProtection="1">
      <alignment horizontal="left" vertical="center"/>
      <protection locked="0"/>
    </xf>
    <xf numFmtId="0" fontId="5" fillId="0" borderId="16" xfId="0" applyFont="1" applyBorder="1" applyAlignment="1">
      <alignment horizontal="center" vertical="center"/>
    </xf>
    <xf numFmtId="164" fontId="5" fillId="0" borderId="17" xfId="1" applyNumberFormat="1" applyFont="1" applyBorder="1" applyAlignment="1">
      <alignment horizontal="center" vertical="center" wrapText="1"/>
    </xf>
    <xf numFmtId="164" fontId="5" fillId="0" borderId="18" xfId="1" applyNumberFormat="1" applyFont="1" applyBorder="1" applyAlignment="1">
      <alignment horizontal="center" vertical="center" wrapText="1"/>
    </xf>
    <xf numFmtId="164" fontId="5" fillId="0" borderId="17" xfId="0" applyNumberFormat="1" applyFont="1" applyBorder="1" applyAlignment="1">
      <alignment horizontal="center" vertical="center" wrapText="1"/>
    </xf>
    <xf numFmtId="164" fontId="5" fillId="0" borderId="18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zoomScale="50" zoomScaleNormal="50" workbookViewId="0">
      <selection activeCell="F15" sqref="F15"/>
    </sheetView>
  </sheetViews>
  <sheetFormatPr defaultColWidth="11.5546875" defaultRowHeight="14.4"/>
  <cols>
    <col min="1" max="1" width="86.77734375" customWidth="1"/>
    <col min="2" max="2" width="24.6640625" customWidth="1"/>
    <col min="3" max="3" width="13.44140625" bestFit="1" customWidth="1"/>
    <col min="4" max="4" width="20.33203125" bestFit="1" customWidth="1"/>
    <col min="5" max="5" width="18.109375" bestFit="1" customWidth="1"/>
    <col min="6" max="7" width="26.33203125" customWidth="1"/>
    <col min="8" max="9" width="20.33203125" bestFit="1" customWidth="1"/>
    <col min="10" max="10" width="26.6640625" customWidth="1"/>
    <col min="11" max="11" width="29.33203125" bestFit="1" customWidth="1"/>
    <col min="12" max="12" width="28.21875" customWidth="1"/>
  </cols>
  <sheetData>
    <row r="1" spans="1:12" ht="22.8">
      <c r="A1" s="9" t="s">
        <v>0</v>
      </c>
      <c r="B1" s="10"/>
      <c r="C1" s="11"/>
      <c r="D1" s="18" t="s">
        <v>1</v>
      </c>
      <c r="E1" s="19"/>
      <c r="F1" s="19"/>
      <c r="G1" s="19"/>
      <c r="H1" s="19"/>
      <c r="I1" s="19"/>
      <c r="J1" s="20" t="s">
        <v>2</v>
      </c>
      <c r="K1" s="20"/>
    </row>
    <row r="2" spans="1:12" ht="22.8" customHeight="1">
      <c r="A2" s="12"/>
      <c r="B2" s="13"/>
      <c r="C2" s="14"/>
      <c r="D2" s="21" t="s">
        <v>17</v>
      </c>
      <c r="E2" s="22"/>
      <c r="F2" s="22"/>
      <c r="G2" s="22"/>
      <c r="H2" s="22"/>
      <c r="I2" s="22"/>
      <c r="J2" s="22"/>
      <c r="K2" s="23"/>
    </row>
    <row r="3" spans="1:12" ht="23.4" thickBot="1">
      <c r="A3" s="15"/>
      <c r="B3" s="16"/>
      <c r="C3" s="17"/>
      <c r="D3" s="24" t="s">
        <v>3</v>
      </c>
      <c r="E3" s="25"/>
      <c r="F3" s="25"/>
      <c r="G3" s="25"/>
      <c r="H3" s="25"/>
      <c r="I3" s="25"/>
      <c r="J3" s="26" t="s">
        <v>2</v>
      </c>
      <c r="K3" s="26"/>
    </row>
    <row r="5" spans="1:12" ht="28.2">
      <c r="A5" s="27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1" t="s">
        <v>10</v>
      </c>
      <c r="H5" s="28">
        <v>0.03</v>
      </c>
      <c r="I5" s="28">
        <v>0.05</v>
      </c>
      <c r="J5" s="8" t="s">
        <v>11</v>
      </c>
      <c r="K5" s="8" t="s">
        <v>12</v>
      </c>
      <c r="L5" s="8" t="s">
        <v>13</v>
      </c>
    </row>
    <row r="6" spans="1:12" ht="28.2">
      <c r="A6" s="27"/>
      <c r="B6" s="8"/>
      <c r="C6" s="8"/>
      <c r="D6" s="8"/>
      <c r="E6" s="8"/>
      <c r="F6" s="8"/>
      <c r="G6" s="1">
        <v>9.0899999999999995E-2</v>
      </c>
      <c r="H6" s="29"/>
      <c r="I6" s="29"/>
      <c r="J6" s="8"/>
      <c r="K6" s="8"/>
      <c r="L6" s="8"/>
    </row>
    <row r="7" spans="1:12" ht="28.2">
      <c r="A7" s="2" t="s">
        <v>14</v>
      </c>
      <c r="B7" s="3">
        <v>24</v>
      </c>
      <c r="C7" s="3">
        <f>B7*8</f>
        <v>192</v>
      </c>
      <c r="D7" s="4">
        <v>4260</v>
      </c>
      <c r="E7" s="4">
        <f>D7/24</f>
        <v>177.5</v>
      </c>
      <c r="F7" s="4">
        <f>E7*B7</f>
        <v>4260</v>
      </c>
      <c r="G7" s="4">
        <f>F7*9.09/100</f>
        <v>387.23400000000004</v>
      </c>
      <c r="H7" s="5">
        <f>((F7+G7)-3260)*0.03</f>
        <v>41.617020000000011</v>
      </c>
      <c r="I7" s="5">
        <f>(F7+G7)*0.05</f>
        <v>232.36170000000004</v>
      </c>
      <c r="J7" s="4">
        <f>SUM(H7:I7)</f>
        <v>273.97872000000007</v>
      </c>
      <c r="K7" s="4">
        <f>F7+G7-J7</f>
        <v>4373.2552800000003</v>
      </c>
      <c r="L7" s="6"/>
    </row>
    <row r="8" spans="1:12" ht="28.2">
      <c r="A8" s="2" t="s">
        <v>15</v>
      </c>
      <c r="B8" s="3">
        <v>24</v>
      </c>
      <c r="C8" s="3">
        <f>B8*8</f>
        <v>192</v>
      </c>
      <c r="D8" s="4">
        <v>4260</v>
      </c>
      <c r="E8" s="4">
        <f>D8/24</f>
        <v>177.5</v>
      </c>
      <c r="F8" s="4">
        <f>E8*B8</f>
        <v>4260</v>
      </c>
      <c r="G8" s="4">
        <f>F8*9.09/100</f>
        <v>387.23400000000004</v>
      </c>
      <c r="H8" s="5">
        <f t="shared" ref="H8:H9" si="0">((F8+G8)-3260)*0.03</f>
        <v>41.617020000000011</v>
      </c>
      <c r="I8" s="5">
        <f>(F8+G8)*0.05</f>
        <v>232.36170000000004</v>
      </c>
      <c r="J8" s="4">
        <f>SUM(H8:I8)</f>
        <v>273.97872000000007</v>
      </c>
      <c r="K8" s="4">
        <f>F8+G8-J8</f>
        <v>4373.2552800000003</v>
      </c>
      <c r="L8" s="6"/>
    </row>
    <row r="9" spans="1:12" ht="28.2">
      <c r="A9" s="2" t="s">
        <v>16</v>
      </c>
      <c r="B9" s="3">
        <v>24</v>
      </c>
      <c r="C9" s="3">
        <f>B9*8</f>
        <v>192</v>
      </c>
      <c r="D9" s="4">
        <v>5000</v>
      </c>
      <c r="E9" s="4">
        <f>D9/24</f>
        <v>208.33333333333334</v>
      </c>
      <c r="F9" s="4">
        <f>E9*B9</f>
        <v>5000</v>
      </c>
      <c r="G9" s="4">
        <f>F9*9.09/100</f>
        <v>454.5</v>
      </c>
      <c r="H9" s="5">
        <f t="shared" si="0"/>
        <v>65.834999999999994</v>
      </c>
      <c r="I9" s="5">
        <f>(F9+G9)*0.05</f>
        <v>272.72500000000002</v>
      </c>
      <c r="J9" s="4">
        <f>SUM(H9:I9)</f>
        <v>338.56</v>
      </c>
      <c r="K9" s="4">
        <f>F9+G9-J9</f>
        <v>5115.9399999999996</v>
      </c>
      <c r="L9" s="6"/>
    </row>
    <row r="10" spans="1:12" ht="28.2">
      <c r="A10" s="2"/>
      <c r="B10" s="3"/>
      <c r="C10" s="3"/>
      <c r="D10" s="4"/>
      <c r="E10" s="4"/>
      <c r="F10" s="4"/>
      <c r="G10" s="4"/>
      <c r="H10" s="5"/>
      <c r="I10" s="5"/>
      <c r="J10" s="4"/>
      <c r="K10" s="4"/>
      <c r="L10" s="6"/>
    </row>
  </sheetData>
  <mergeCells count="17">
    <mergeCell ref="I5:I6"/>
    <mergeCell ref="J5:J6"/>
    <mergeCell ref="K5:K6"/>
    <mergeCell ref="L5:L6"/>
    <mergeCell ref="F5:F6"/>
    <mergeCell ref="A1:C3"/>
    <mergeCell ref="D1:I1"/>
    <mergeCell ref="J1:K1"/>
    <mergeCell ref="D2:K2"/>
    <mergeCell ref="D3:I3"/>
    <mergeCell ref="J3:K3"/>
    <mergeCell ref="A5:A6"/>
    <mergeCell ref="B5:B6"/>
    <mergeCell ref="C5:C6"/>
    <mergeCell ref="D5:D6"/>
    <mergeCell ref="E5:E6"/>
    <mergeCell ref="H5:H6"/>
  </mergeCells>
  <pageMargins left="0.23622047244094491" right="0.23622047244094491" top="0.74803149606299213" bottom="0.74803149606299213" header="0.31496062992125984" footer="0.31496062992125984"/>
  <pageSetup paperSize="122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tabSelected="1" zoomScale="50" zoomScaleNormal="50" workbookViewId="0">
      <selection activeCell="D3" sqref="D3:K3"/>
    </sheetView>
  </sheetViews>
  <sheetFormatPr defaultColWidth="11.5546875" defaultRowHeight="14.4"/>
  <cols>
    <col min="1" max="1" width="86.6640625" customWidth="1"/>
    <col min="2" max="2" width="24.6640625" customWidth="1"/>
    <col min="3" max="3" width="13.44140625" bestFit="1" customWidth="1"/>
    <col min="4" max="4" width="20.33203125" bestFit="1" customWidth="1"/>
    <col min="5" max="5" width="18.109375" bestFit="1" customWidth="1"/>
    <col min="6" max="6" width="26.33203125" customWidth="1"/>
    <col min="7" max="7" width="25.44140625" customWidth="1"/>
    <col min="8" max="8" width="21.109375" customWidth="1"/>
    <col min="9" max="9" width="21.6640625" customWidth="1"/>
    <col min="10" max="11" width="20.33203125" bestFit="1" customWidth="1"/>
    <col min="12" max="12" width="26.6640625" customWidth="1"/>
    <col min="13" max="13" width="29.33203125" bestFit="1" customWidth="1"/>
    <col min="14" max="14" width="28.33203125" customWidth="1"/>
  </cols>
  <sheetData>
    <row r="1" spans="1:14" ht="23.4" customHeight="1">
      <c r="A1" s="9" t="s">
        <v>0</v>
      </c>
      <c r="B1" s="10"/>
      <c r="C1" s="11"/>
      <c r="D1" s="18" t="s">
        <v>1</v>
      </c>
      <c r="E1" s="19"/>
      <c r="F1" s="19"/>
      <c r="G1" s="19"/>
      <c r="H1" s="19"/>
      <c r="I1" s="19"/>
      <c r="J1" s="19"/>
      <c r="K1" s="19"/>
      <c r="L1" s="20" t="s">
        <v>2</v>
      </c>
      <c r="M1" s="20"/>
    </row>
    <row r="2" spans="1:14" ht="22.95" customHeight="1">
      <c r="A2" s="12"/>
      <c r="B2" s="13"/>
      <c r="C2" s="14"/>
      <c r="D2" s="21" t="s">
        <v>18</v>
      </c>
      <c r="E2" s="22"/>
      <c r="F2" s="22"/>
      <c r="G2" s="22"/>
      <c r="H2" s="22"/>
      <c r="I2" s="22"/>
      <c r="J2" s="22"/>
      <c r="K2" s="22"/>
      <c r="L2" s="22"/>
      <c r="M2" s="23"/>
    </row>
    <row r="3" spans="1:14" ht="23.4" thickBot="1">
      <c r="A3" s="15"/>
      <c r="B3" s="16"/>
      <c r="C3" s="17"/>
      <c r="D3" s="24" t="s">
        <v>3</v>
      </c>
      <c r="E3" s="25"/>
      <c r="F3" s="25"/>
      <c r="G3" s="25"/>
      <c r="H3" s="25"/>
      <c r="I3" s="25"/>
      <c r="J3" s="25"/>
      <c r="K3" s="25"/>
      <c r="L3" s="26" t="s">
        <v>2</v>
      </c>
      <c r="M3" s="26"/>
    </row>
    <row r="5" spans="1:14" ht="56.4">
      <c r="A5" s="27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1" t="s">
        <v>10</v>
      </c>
      <c r="H5" s="30">
        <v>0.125</v>
      </c>
      <c r="I5" s="30">
        <v>1.4999999999999999E-2</v>
      </c>
      <c r="J5" s="28">
        <v>0.03</v>
      </c>
      <c r="K5" s="28">
        <v>0.05</v>
      </c>
      <c r="L5" s="8" t="s">
        <v>11</v>
      </c>
      <c r="M5" s="8" t="s">
        <v>12</v>
      </c>
      <c r="N5" s="8" t="s">
        <v>13</v>
      </c>
    </row>
    <row r="6" spans="1:14" ht="28.2">
      <c r="A6" s="27"/>
      <c r="B6" s="8"/>
      <c r="C6" s="8"/>
      <c r="D6" s="8"/>
      <c r="E6" s="8"/>
      <c r="F6" s="8"/>
      <c r="G6" s="1">
        <v>9.0899999999999995E-2</v>
      </c>
      <c r="H6" s="31"/>
      <c r="I6" s="31"/>
      <c r="J6" s="29"/>
      <c r="K6" s="29"/>
      <c r="L6" s="8"/>
      <c r="M6" s="8"/>
      <c r="N6" s="8"/>
    </row>
    <row r="7" spans="1:14" ht="28.2">
      <c r="A7" s="2" t="s">
        <v>14</v>
      </c>
      <c r="B7" s="7">
        <v>24</v>
      </c>
      <c r="C7" s="7">
        <f>B7*8</f>
        <v>192</v>
      </c>
      <c r="D7" s="4">
        <v>4260</v>
      </c>
      <c r="E7" s="4">
        <f>D7/24</f>
        <v>177.5</v>
      </c>
      <c r="F7" s="4">
        <f>E7*B7</f>
        <v>4260</v>
      </c>
      <c r="G7" s="4">
        <f>F7*9.09/100</f>
        <v>387.23400000000004</v>
      </c>
      <c r="H7" s="4">
        <f>(F7+G7)*12.5%</f>
        <v>580.90425000000005</v>
      </c>
      <c r="I7" s="4">
        <f>(F7+G7)*1.5%</f>
        <v>69.708510000000004</v>
      </c>
      <c r="J7" s="5">
        <f>((F7+G7)-3260)*0.03</f>
        <v>41.617020000000011</v>
      </c>
      <c r="K7" s="5">
        <f>(F7+G7)*0.05</f>
        <v>232.36170000000004</v>
      </c>
      <c r="L7" s="4">
        <f>SUM(J7:K7:H7:I7)</f>
        <v>924.59148000000016</v>
      </c>
      <c r="M7" s="4">
        <f>F7+G7-L7</f>
        <v>3722.6425200000003</v>
      </c>
      <c r="N7" s="6"/>
    </row>
    <row r="8" spans="1:14" ht="28.2">
      <c r="A8" s="2" t="s">
        <v>15</v>
      </c>
      <c r="B8" s="7">
        <v>15</v>
      </c>
      <c r="C8" s="7">
        <f>B8*8</f>
        <v>120</v>
      </c>
      <c r="D8" s="4">
        <v>4260</v>
      </c>
      <c r="E8" s="4">
        <f>D8/24</f>
        <v>177.5</v>
      </c>
      <c r="F8" s="4">
        <f>E8*B8</f>
        <v>2662.5</v>
      </c>
      <c r="G8" s="4">
        <f>F8*9.09/100</f>
        <v>242.02125000000001</v>
      </c>
      <c r="H8" s="4">
        <f t="shared" ref="H8:H9" si="0">(F8+G8)*12.5%</f>
        <v>363.06515624999997</v>
      </c>
      <c r="I8" s="4">
        <f t="shared" ref="I8:I9" si="1">(F8+G8)*1.5%</f>
        <v>43.567818749999994</v>
      </c>
      <c r="J8" s="5">
        <f>((F8+G8)-3260)*0.03</f>
        <v>-10.664362500000006</v>
      </c>
      <c r="K8" s="5">
        <f>(F8+G8)*0.05</f>
        <v>145.22606249999998</v>
      </c>
      <c r="L8" s="4">
        <f>SUM(J8:K8:H8:I8)</f>
        <v>541.19467499999996</v>
      </c>
      <c r="M8" s="4">
        <f>F8+G8-L8</f>
        <v>2363.326575</v>
      </c>
      <c r="N8" s="6"/>
    </row>
    <row r="9" spans="1:14" ht="28.2">
      <c r="A9" s="2" t="s">
        <v>16</v>
      </c>
      <c r="B9" s="7">
        <v>24</v>
      </c>
      <c r="C9" s="7">
        <f>B9*8</f>
        <v>192</v>
      </c>
      <c r="D9" s="4">
        <v>5000</v>
      </c>
      <c r="E9" s="4">
        <f>D9/24</f>
        <v>208.33333333333334</v>
      </c>
      <c r="F9" s="4">
        <f>E9*B9</f>
        <v>5000</v>
      </c>
      <c r="G9" s="4">
        <f>F9*9.09/100</f>
        <v>454.5</v>
      </c>
      <c r="H9" s="4">
        <f t="shared" si="0"/>
        <v>681.8125</v>
      </c>
      <c r="I9" s="4">
        <f t="shared" si="1"/>
        <v>81.817499999999995</v>
      </c>
      <c r="J9" s="5">
        <f t="shared" ref="J8:J9" si="2">((F9+G9)-3260)*0.03</f>
        <v>65.834999999999994</v>
      </c>
      <c r="K9" s="5">
        <f>(F9+G9)*0.05</f>
        <v>272.72500000000002</v>
      </c>
      <c r="L9" s="4">
        <f>SUM(J9:K9:H9:I9)</f>
        <v>1102.19</v>
      </c>
      <c r="M9" s="4">
        <f>F9+G9-L9</f>
        <v>4352.3099999999995</v>
      </c>
      <c r="N9" s="6"/>
    </row>
  </sheetData>
  <mergeCells count="19">
    <mergeCell ref="N5:N6"/>
    <mergeCell ref="L1:M1"/>
    <mergeCell ref="D2:M2"/>
    <mergeCell ref="D3:K3"/>
    <mergeCell ref="L3:M3"/>
    <mergeCell ref="M5:M6"/>
    <mergeCell ref="F5:F6"/>
    <mergeCell ref="A1:C3"/>
    <mergeCell ref="D1:K1"/>
    <mergeCell ref="A5:A6"/>
    <mergeCell ref="B5:B6"/>
    <mergeCell ref="C5:C6"/>
    <mergeCell ref="D5:D6"/>
    <mergeCell ref="E5:E6"/>
    <mergeCell ref="H5:H6"/>
    <mergeCell ref="I5:I6"/>
    <mergeCell ref="J5:J6"/>
    <mergeCell ref="K5:K6"/>
    <mergeCell ref="L5:L6"/>
  </mergeCells>
  <pageMargins left="0.23622047244094491" right="0.23622047244094491" top="0.74803149606299213" bottom="0.74803149606299213" header="0.31496062992125984" footer="0.31496062992125984"/>
  <pageSetup paperSize="122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Enero</vt:lpstr>
      <vt:lpstr>Febrero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2026-03-13T16:30:01Z</dcterms:modified>
</cp:coreProperties>
</file>